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Volumes/DRIVE/GDrive/MyResearch/ERC-Starting-Grant/SEMANTRAL2/"/>
    </mc:Choice>
  </mc:AlternateContent>
  <xr:revisionPtr revIDLastSave="0" documentId="13_ncr:1_{A2E58D6A-C47E-1342-9B14-C0CD62029200}" xr6:coauthVersionLast="47" xr6:coauthVersionMax="47" xr10:uidLastSave="{00000000-0000-0000-0000-000000000000}"/>
  <bookViews>
    <workbookView xWindow="14220" yWindow="3320" windowWidth="22480" windowHeight="25000" xr2:uid="{00000000-000D-0000-FFFF-FFFF00000000}"/>
  </bookViews>
  <sheets>
    <sheet name="Budget" sheetId="3" r:id="rId1"/>
    <sheet name="Work Pla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" l="1"/>
  <c r="D25" i="3"/>
  <c r="E25" i="3"/>
  <c r="F25" i="3"/>
  <c r="B25" i="3"/>
  <c r="N4" i="3"/>
  <c r="F10" i="4"/>
  <c r="F9" i="4"/>
  <c r="F8" i="4"/>
  <c r="F7" i="4"/>
  <c r="F6" i="4"/>
  <c r="F5" i="4"/>
  <c r="C19" i="3"/>
  <c r="D19" i="3" s="1"/>
  <c r="C18" i="3"/>
  <c r="D18" i="3" s="1"/>
  <c r="C17" i="3"/>
  <c r="F15" i="3"/>
  <c r="G15" i="3" s="1"/>
  <c r="H15" i="3" s="1"/>
  <c r="F14" i="3"/>
  <c r="G14" i="3" s="1"/>
  <c r="H14" i="3" s="1"/>
  <c r="F12" i="3"/>
  <c r="G12" i="3" s="1"/>
  <c r="H12" i="3" s="1"/>
  <c r="K9" i="3"/>
  <c r="J9" i="3"/>
  <c r="I9" i="3"/>
  <c r="H9" i="3"/>
  <c r="G9" i="3"/>
  <c r="K8" i="3"/>
  <c r="J8" i="3"/>
  <c r="I8" i="3"/>
  <c r="H8" i="3"/>
  <c r="G8" i="3"/>
  <c r="K7" i="3"/>
  <c r="J7" i="3"/>
  <c r="I7" i="3"/>
  <c r="H7" i="3"/>
  <c r="G7" i="3"/>
  <c r="K6" i="3"/>
  <c r="J6" i="3"/>
  <c r="I6" i="3"/>
  <c r="H6" i="3"/>
  <c r="G6" i="3"/>
  <c r="B27" i="3" s="1"/>
  <c r="K5" i="3"/>
  <c r="J5" i="3"/>
  <c r="I5" i="3"/>
  <c r="H5" i="3"/>
  <c r="G5" i="3"/>
  <c r="B26" i="3" s="1"/>
  <c r="K4" i="3"/>
  <c r="J4" i="3"/>
  <c r="I4" i="3"/>
  <c r="H4" i="3"/>
  <c r="G4" i="3"/>
  <c r="K12" i="3" l="1"/>
  <c r="L8" i="3"/>
  <c r="C27" i="3"/>
  <c r="C26" i="3"/>
  <c r="J12" i="3"/>
  <c r="I12" i="3"/>
  <c r="D17" i="3"/>
  <c r="E17" i="3" s="1"/>
  <c r="B28" i="3"/>
  <c r="E19" i="3"/>
  <c r="D27" i="3"/>
  <c r="E18" i="3"/>
  <c r="D26" i="3"/>
  <c r="L9" i="3"/>
  <c r="L7" i="3"/>
  <c r="L6" i="3"/>
  <c r="B43" i="3" s="1"/>
  <c r="L5" i="3"/>
  <c r="L4" i="3"/>
  <c r="C28" i="3" l="1"/>
  <c r="F19" i="3"/>
  <c r="E27" i="3"/>
  <c r="F18" i="3"/>
  <c r="E26" i="3"/>
  <c r="F17" i="3"/>
  <c r="L12" i="3"/>
  <c r="B44" i="3"/>
  <c r="B42" i="3"/>
  <c r="D28" i="3" l="1"/>
  <c r="N8" i="3"/>
  <c r="N6" i="3"/>
  <c r="N9" i="3"/>
  <c r="B36" i="3" s="1"/>
  <c r="F27" i="3"/>
  <c r="G27" i="3" s="1"/>
  <c r="N5" i="3"/>
  <c r="N7" i="3"/>
  <c r="F26" i="3"/>
  <c r="G26" i="3" s="1"/>
  <c r="G25" i="3"/>
  <c r="E28" i="3"/>
  <c r="G28" i="3" l="1"/>
  <c r="B33" i="3"/>
  <c r="N12" i="3"/>
  <c r="B34" i="3"/>
  <c r="B35" i="3"/>
  <c r="F28" i="3"/>
  <c r="B45" i="3" l="1"/>
  <c r="B39" i="3"/>
</calcChain>
</file>

<file path=xl/sharedStrings.xml><?xml version="1.0" encoding="utf-8"?>
<sst xmlns="http://schemas.openxmlformats.org/spreadsheetml/2006/main" count="153" uniqueCount="122">
  <si>
    <t>SEMANTRAL WORK PLAN (60m)</t>
  </si>
  <si>
    <t>Work package</t>
  </si>
  <si>
    <t>Pillar / objective</t>
  </si>
  <si>
    <t>Role</t>
  </si>
  <si>
    <t>Headcount</t>
  </si>
  <si>
    <t>Start month</t>
  </si>
  <si>
    <t>End month</t>
  </si>
  <si>
    <t>Y1 PM</t>
  </si>
  <si>
    <t>Y2 PM</t>
  </si>
  <si>
    <t>Y3 PM</t>
  </si>
  <si>
    <t>Y4 PM</t>
  </si>
  <si>
    <t>Y5 PM</t>
  </si>
  <si>
    <t>Total cost (€)</t>
  </si>
  <si>
    <t>Notes</t>
  </si>
  <si>
    <t>WP0–WP5</t>
  </si>
  <si>
    <t>PI</t>
  </si>
  <si>
    <t>Scientific leadership, supervision and integration across m1–m60.</t>
  </si>
  <si>
    <t>WP1</t>
  </si>
  <si>
    <t>P1/O-1</t>
  </si>
  <si>
    <t>PhD</t>
  </si>
  <si>
    <t>Two PhD researchers assigned to WP1 during m4–m16.</t>
  </si>
  <si>
    <t>Postdoc</t>
  </si>
  <si>
    <t>TraBERT postdoc assigned to WP1 during m4–m16.</t>
  </si>
  <si>
    <t>WP2–WP3</t>
  </si>
  <si>
    <t>Shared WP2/WP3 PhD researcher; counted once in the budget.</t>
  </si>
  <si>
    <t>Shared WP2/WP3 postdoc; counted once in the budget.</t>
  </si>
  <si>
    <t>WP4–WP5</t>
  </si>
  <si>
    <t>WP4 postdoc during m40–m54; the same postdoc supports WP5 during m55–m60.</t>
  </si>
  <si>
    <t>TOTAL</t>
  </si>
  <si>
    <t>SALARY ASSUMPTIONS</t>
  </si>
  <si>
    <t>Annual escalation</t>
  </si>
  <si>
    <t>Y1 monthly rate</t>
  </si>
  <si>
    <t>Y2 monthly rate</t>
  </si>
  <si>
    <t>Y3 monthly rate</t>
  </si>
  <si>
    <t>Y4 monthly rate</t>
  </si>
  <si>
    <t>Y5 monthly rate</t>
  </si>
  <si>
    <t>Source / note</t>
  </si>
  <si>
    <t>Existing workbook assumption; PI source URL retained below.</t>
  </si>
  <si>
    <t>Existing workbook assumption.</t>
  </si>
  <si>
    <t>PI source URL</t>
  </si>
  <si>
    <t>https://www.glassdoor.com/Salaries/germany-professor-salary-SRCH_IL.0,7_IN96_KO8,17.htm</t>
  </si>
  <si>
    <t>ANNUAL LABOR COST (€)</t>
  </si>
  <si>
    <t>Y1</t>
  </si>
  <si>
    <t>Y2</t>
  </si>
  <si>
    <t>Y3</t>
  </si>
  <si>
    <t>Y4</t>
  </si>
  <si>
    <t>Y5</t>
  </si>
  <si>
    <t>Total</t>
  </si>
  <si>
    <t>COST BY WORK PACKAGE (€)</t>
  </si>
  <si>
    <t>PI / project coordination</t>
  </si>
  <si>
    <t>WP2–WP3 shared team</t>
  </si>
  <si>
    <t>WP4–WP5 postdoc</t>
  </si>
  <si>
    <t>Additional WP3 personnel</t>
  </si>
  <si>
    <t>Additional WP5 personnel</t>
  </si>
  <si>
    <t>CHECKS</t>
  </si>
  <si>
    <t>Total PhD person-months</t>
  </si>
  <si>
    <t>Total Postdoc person-months</t>
  </si>
  <si>
    <t>Total PI person-months</t>
  </si>
  <si>
    <t>Schedule cost less summary</t>
  </si>
  <si>
    <t>Inclusive month ranges. WP2 and WP3 share one team during m16–m39. The WP4 postdoc works during m40–m60 and supports WP5 during m55–m60.</t>
  </si>
  <si>
    <t>WP</t>
  </si>
  <si>
    <t>Start</t>
  </si>
  <si>
    <t>End</t>
  </si>
  <si>
    <t>Duration</t>
  </si>
  <si>
    <t>Team</t>
  </si>
  <si>
    <t>Core activities</t>
  </si>
  <si>
    <t>Milestone / output</t>
  </si>
  <si>
    <t>Y1 active months</t>
  </si>
  <si>
    <t>Y2 active months</t>
  </si>
  <si>
    <t>Y3 active months</t>
  </si>
  <si>
    <t>Y4 active months</t>
  </si>
  <si>
    <t>Y5 active months</t>
  </si>
  <si>
    <t>WP0</t>
  </si>
  <si>
    <t>Enabling</t>
  </si>
  <si>
    <t>Team &amp; Infrastructure</t>
  </si>
  <si>
    <t>PI; recruit project team</t>
  </si>
  <si>
    <t>Recruit team; PI scientific leadership, supervision and integration across all work packages.</t>
  </si>
  <si>
    <t>m4: infrastructure live</t>
  </si>
  <si>
    <t>Text and semantic decoding</t>
  </si>
  <si>
    <t>2 PhD + 1 Postdoc (m4–m16)</t>
  </si>
  <si>
    <t>Integrate the CBS speech corpus; establish the open-source database pipeline; corpus cleansing; readability; TraBERT dictionary; economic proficiency; decoding-wedge construction and validation.</t>
  </si>
  <si>
    <t>m16: textual wedge validated; m30: WP1 papers submitted</t>
  </si>
  <si>
    <t>WP2</t>
  </si>
  <si>
    <t>P2/O-2</t>
  </si>
  <si>
    <t>Vocal communication</t>
  </si>
  <si>
    <t>Shared WP2/WP3 team (m16–m39)</t>
  </si>
  <si>
    <t>Diarization; acoustic features; pitch and volatility; clarity and pauses; decisiveness and hesitations; pre-decision vocal-signal tests.</t>
  </si>
  <si>
    <t>m36: feature extraction complete</t>
  </si>
  <si>
    <t>WP3</t>
  </si>
  <si>
    <t>P3/O-3</t>
  </si>
  <si>
    <t>Visual and behavioural signals</t>
  </si>
  <si>
    <t>WP2 team (m16–m39)</t>
  </si>
  <si>
    <t>Facial, gaze, posture and gesture extraction; longitudinal affect-consistency measure; lead–lag tests against market stress.</t>
  </si>
  <si>
    <t>m36: all feature extraction complete</t>
  </si>
  <si>
    <t>WP4</t>
  </si>
  <si>
    <t>P4/O-4</t>
  </si>
  <si>
    <t>Causal and macroeconomic effects</t>
  </si>
  <si>
    <t>1 Postdoc employed m40–m60</t>
  </si>
  <si>
    <t>High-frequency event windows; orthogonalized communication-form shocks; governor-transition DiD; local projections and proxy-SVAR.</t>
  </si>
  <si>
    <t>m54: market-impact results finalized</t>
  </si>
  <si>
    <t>WP5</t>
  </si>
  <si>
    <t>Integration</t>
  </si>
  <si>
    <t>Integration &amp; Dissemination</t>
  </si>
  <si>
    <t>WP4 team (m55–m60)</t>
  </si>
  <si>
    <t>Cross-pillar synthesis; robustness checks; manuscript finalization (~8 papers); open-data release and grant closure.</t>
  </si>
  <si>
    <t>m60: dissemination complete</t>
  </si>
  <si>
    <t>MILESTONES</t>
  </si>
  <si>
    <t>Month</t>
  </si>
  <si>
    <t>Milestone</t>
  </si>
  <si>
    <t>Responsible WP</t>
  </si>
  <si>
    <t>Infrastructure live</t>
  </si>
  <si>
    <t>Textual wedge validated</t>
  </si>
  <si>
    <t>WP1 papers submitted</t>
  </si>
  <si>
    <t>WP1 / PI coordination</t>
  </si>
  <si>
    <t>All feature extraction complete</t>
  </si>
  <si>
    <t>Market-impact results finalized</t>
  </si>
  <si>
    <t>Dissemination and open-data release complete</t>
  </si>
  <si>
    <t>PM Workload %</t>
  </si>
  <si>
    <t>P1</t>
  </si>
  <si>
    <t>P2 &amp; P3</t>
  </si>
  <si>
    <t>P4 &amp; Integration</t>
  </si>
  <si>
    <t>Coordination, P1, P2, P3,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</si>
</sst>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€#,##0.00;[Red]\(\€#,##0.00\);\-"/>
    <numFmt numFmtId="165" formatCode="0.0%"/>
    <numFmt numFmtId="166" formatCode="0;\-;\-"/>
    <numFmt numFmtId="167" formatCode="&quot;m&quot;0"/>
  </numFmts>
  <fonts count="12" x14ac:knownFonts="1">
    <font>
      <sz val="11"/>
      <color theme="1"/>
      <name val="Calibri"/>
    </font>
    <font>
      <sz val="10"/>
      <color rgb="FF1F2937"/>
      <name val="Arial"/>
      <family val="2"/>
    </font>
    <font>
      <b/>
      <sz val="15"/>
      <color rgb="FF0F2747"/>
      <name val="Arial"/>
      <family val="2"/>
    </font>
    <font>
      <i/>
      <sz val="9"/>
      <color rgb="FF5B6573"/>
      <name val="Arial"/>
      <family val="2"/>
    </font>
    <font>
      <b/>
      <sz val="10"/>
      <color rgb="FFFFFFFF"/>
      <name val="Arial"/>
      <family val="2"/>
    </font>
    <font>
      <b/>
      <sz val="11"/>
      <color rgb="FF17365D"/>
      <name val="Arial"/>
      <family val="2"/>
    </font>
    <font>
      <sz val="10"/>
      <color rgb="FF0000FF"/>
      <name val="Arial"/>
      <family val="2"/>
    </font>
    <font>
      <b/>
      <sz val="10"/>
      <color rgb="FF0F2747"/>
      <name val="Arial"/>
      <family val="2"/>
    </font>
    <font>
      <b/>
      <sz val="16"/>
      <color rgb="FF0F2747"/>
      <name val="Arial"/>
      <family val="2"/>
    </font>
    <font>
      <b/>
      <sz val="10"/>
      <color rgb="FF17365D"/>
      <name val="Arial"/>
      <family val="2"/>
    </font>
    <font>
      <b/>
      <sz val="10"/>
      <color rgb="FF1F2937"/>
      <name val="Arial"/>
      <family val="2"/>
    </font>
    <font>
      <u/>
      <sz val="11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6F2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EF4FA"/>
      </patternFill>
    </fill>
    <fill>
      <patternFill patternType="solid">
        <fgColor rgb="FFE8F3E8"/>
      </patternFill>
    </fill>
    <fill>
      <patternFill patternType="solid">
        <fgColor rgb="FFD9E6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double">
        <color rgb="FF17365D"/>
      </bottom>
      <diagonal/>
    </border>
    <border>
      <left/>
      <right style="thin">
        <color rgb="FFD5DEE8"/>
      </right>
      <top/>
      <bottom style="thin">
        <color rgb="FFD5DEE8"/>
      </bottom>
      <diagonal/>
    </border>
    <border>
      <left style="thin">
        <color rgb="FFD5DEE8"/>
      </left>
      <right style="thin">
        <color rgb="FFD5DEE8"/>
      </right>
      <top/>
      <bottom style="thin">
        <color rgb="FFD5DEE8"/>
      </bottom>
      <diagonal/>
    </border>
    <border>
      <left style="thin">
        <color rgb="FFD5DEE8"/>
      </left>
      <right/>
      <top/>
      <bottom style="thin">
        <color rgb="FFD5DEE8"/>
      </bottom>
      <diagonal/>
    </border>
    <border>
      <left/>
      <right style="thin">
        <color rgb="FFD5DEE8"/>
      </right>
      <top style="thin">
        <color rgb="FFD5DEE8"/>
      </top>
      <bottom style="thin">
        <color rgb="FFD5DEE8"/>
      </bottom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  <border>
      <left style="thin">
        <color rgb="FFD5DEE8"/>
      </left>
      <right/>
      <top style="thin">
        <color rgb="FFD5DEE8"/>
      </top>
      <bottom style="thin">
        <color rgb="FFD5DEE8"/>
      </bottom>
      <diagonal/>
    </border>
    <border>
      <left/>
      <right style="thin">
        <color rgb="FFD5DEE8"/>
      </right>
      <top style="thin">
        <color rgb="FFD5DEE8"/>
      </top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/>
      <diagonal/>
    </border>
    <border>
      <left style="thin">
        <color rgb="FFD5DEE8"/>
      </left>
      <right/>
      <top style="thin">
        <color rgb="FFD5DEE8"/>
      </top>
      <bottom/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5" fillId="3" borderId="6" xfId="0" applyFont="1" applyFill="1" applyBorder="1">
      <alignment vertical="center"/>
    </xf>
    <xf numFmtId="0" fontId="7" fillId="0" borderId="7" xfId="0" applyFont="1" applyBorder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164" fontId="7" fillId="0" borderId="7" xfId="0" applyNumberFormat="1" applyFont="1" applyBorder="1">
      <alignment vertical="center"/>
    </xf>
    <xf numFmtId="165" fontId="6" fillId="4" borderId="0" xfId="0" applyNumberFormat="1" applyFont="1" applyFill="1">
      <alignment vertical="center"/>
    </xf>
    <xf numFmtId="164" fontId="6" fillId="4" borderId="0" xfId="0" applyNumberFormat="1" applyFont="1" applyFill="1">
      <alignment vertical="center"/>
    </xf>
    <xf numFmtId="2" fontId="1" fillId="0" borderId="0" xfId="0" applyNumberFormat="1" applyFont="1">
      <alignment vertical="center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" fontId="7" fillId="0" borderId="7" xfId="0" applyNumberFormat="1" applyFont="1" applyBorder="1" applyAlignment="1">
      <alignment horizontal="right" vertical="center"/>
    </xf>
    <xf numFmtId="164" fontId="7" fillId="0" borderId="7" xfId="0" applyNumberFormat="1" applyFont="1" applyBorder="1" applyAlignment="1">
      <alignment horizontal="right" vertical="center"/>
    </xf>
    <xf numFmtId="1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6" borderId="11" xfId="0" applyFont="1" applyFill="1" applyBorder="1" applyAlignment="1">
      <alignment vertical="center" wrapText="1"/>
    </xf>
    <xf numFmtId="0" fontId="1" fillId="6" borderId="12" xfId="0" applyFont="1" applyFill="1" applyBorder="1" applyAlignment="1">
      <alignment vertical="center" wrapText="1"/>
    </xf>
    <xf numFmtId="1" fontId="1" fillId="6" borderId="12" xfId="0" applyNumberFormat="1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vertical="center" wrapText="1"/>
    </xf>
    <xf numFmtId="0" fontId="1" fillId="7" borderId="15" xfId="0" applyFont="1" applyFill="1" applyBorder="1" applyAlignment="1">
      <alignment vertical="center" wrapText="1"/>
    </xf>
    <xf numFmtId="1" fontId="1" fillId="7" borderId="15" xfId="0" applyNumberFormat="1" applyFont="1" applyFill="1" applyBorder="1" applyAlignment="1">
      <alignment horizontal="center" vertical="center" wrapText="1"/>
    </xf>
    <xf numFmtId="167" fontId="1" fillId="0" borderId="8" xfId="0" applyNumberFormat="1" applyFont="1" applyBorder="1" applyAlignment="1">
      <alignment horizontal="center" vertical="center"/>
    </xf>
    <xf numFmtId="167" fontId="1" fillId="0" borderId="11" xfId="0" applyNumberFormat="1" applyFont="1" applyBorder="1" applyAlignment="1">
      <alignment horizontal="center" vertical="center"/>
    </xf>
    <xf numFmtId="167" fontId="1" fillId="0" borderId="14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" fontId="6" fillId="9" borderId="0" xfId="0" applyNumberFormat="1" applyFont="1" applyFill="1" applyAlignment="1">
      <alignment horizontal="center" vertical="center"/>
    </xf>
    <xf numFmtId="166" fontId="1" fillId="10" borderId="9" xfId="0" applyNumberFormat="1" applyFont="1" applyFill="1" applyBorder="1" applyAlignment="1">
      <alignment horizontal="center" vertical="center" wrapText="1"/>
    </xf>
    <xf numFmtId="166" fontId="1" fillId="10" borderId="10" xfId="0" applyNumberFormat="1" applyFont="1" applyFill="1" applyBorder="1" applyAlignment="1">
      <alignment horizontal="center" vertical="center" wrapText="1"/>
    </xf>
    <xf numFmtId="166" fontId="10" fillId="10" borderId="12" xfId="0" applyNumberFormat="1" applyFont="1" applyFill="1" applyBorder="1" applyAlignment="1">
      <alignment horizontal="center" vertical="center" wrapText="1"/>
    </xf>
    <xf numFmtId="166" fontId="1" fillId="10" borderId="12" xfId="0" applyNumberFormat="1" applyFont="1" applyFill="1" applyBorder="1" applyAlignment="1">
      <alignment horizontal="center" vertical="center" wrapText="1"/>
    </xf>
    <xf numFmtId="166" fontId="1" fillId="10" borderId="13" xfId="0" applyNumberFormat="1" applyFont="1" applyFill="1" applyBorder="1" applyAlignment="1">
      <alignment horizontal="center" vertical="center" wrapText="1"/>
    </xf>
    <xf numFmtId="166" fontId="1" fillId="10" borderId="15" xfId="0" applyNumberFormat="1" applyFont="1" applyFill="1" applyBorder="1" applyAlignment="1">
      <alignment horizontal="center" vertical="center" wrapText="1"/>
    </xf>
    <xf numFmtId="166" fontId="9" fillId="11" borderId="9" xfId="0" applyNumberFormat="1" applyFont="1" applyFill="1" applyBorder="1" applyAlignment="1">
      <alignment horizontal="center" vertical="center" wrapText="1"/>
    </xf>
    <xf numFmtId="166" fontId="9" fillId="11" borderId="12" xfId="0" applyNumberFormat="1" applyFont="1" applyFill="1" applyBorder="1" applyAlignment="1">
      <alignment horizontal="center" vertical="center" wrapText="1"/>
    </xf>
    <xf numFmtId="166" fontId="9" fillId="11" borderId="13" xfId="0" applyNumberFormat="1" applyFont="1" applyFill="1" applyBorder="1" applyAlignment="1">
      <alignment horizontal="center" vertical="center" wrapText="1"/>
    </xf>
    <xf numFmtId="166" fontId="9" fillId="11" borderId="16" xfId="0" applyNumberFormat="1" applyFont="1" applyFill="1" applyBorder="1" applyAlignment="1">
      <alignment horizontal="center" vertical="center" wrapText="1"/>
    </xf>
    <xf numFmtId="0" fontId="11" fillId="0" borderId="0" xfId="1">
      <alignment vertical="center"/>
    </xf>
    <xf numFmtId="0" fontId="1" fillId="0" borderId="12" xfId="0" applyFont="1" applyBorder="1">
      <alignment vertical="center"/>
    </xf>
    <xf numFmtId="0" fontId="1" fillId="0" borderId="15" xfId="0" applyFont="1" applyBorder="1">
      <alignment vertical="center"/>
    </xf>
    <xf numFmtId="0" fontId="8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5" fillId="8" borderId="0" xfId="0" applyFont="1" applyFill="1">
      <alignment vertical="center"/>
    </xf>
    <xf numFmtId="0" fontId="4" fillId="5" borderId="0" xfId="0" applyFont="1" applyFill="1" applyAlignment="1">
      <alignment horizontal="center" vertical="center" wrapText="1"/>
    </xf>
    <xf numFmtId="0" fontId="1" fillId="0" borderId="9" xfId="0" applyFont="1" applyBorder="1">
      <alignment vertical="center"/>
    </xf>
    <xf numFmtId="9" fontId="1" fillId="0" borderId="0" xfId="0" applyNumberFormat="1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1">
    <dxf>
      <font>
        <b/>
        <color rgb="FFC00000"/>
      </font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assdoor.com/Salaries/germany-professor-salary-SRCH_IL.0,7_IN96_KO8,1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showGridLines="0" tabSelected="1" workbookViewId="0">
      <pane ySplit="3" topLeftCell="A5" activePane="bottomLeft" state="frozen"/>
      <selection pane="bottomLeft" activeCell="J27" sqref="J27"/>
    </sheetView>
  </sheetViews>
  <sheetFormatPr baseColWidth="10" defaultColWidth="9.33203125" defaultRowHeight="15" x14ac:dyDescent="0.2"/>
  <cols>
    <col min="1" max="1" width="24" customWidth="1"/>
    <col min="2" max="2" width="20" customWidth="1"/>
    <col min="3" max="3" width="14" customWidth="1"/>
    <col min="4" max="6" width="12" customWidth="1"/>
    <col min="7" max="13" width="11" customWidth="1"/>
    <col min="14" max="14" width="17" customWidth="1"/>
    <col min="15" max="15" width="52" customWidth="1"/>
  </cols>
  <sheetData>
    <row r="1" spans="1:15" ht="26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30" customHeight="1" x14ac:dyDescent="0.2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47</v>
      </c>
      <c r="M3" s="4" t="s">
        <v>117</v>
      </c>
      <c r="N3" s="4" t="s">
        <v>12</v>
      </c>
      <c r="O3" s="5" t="s">
        <v>13</v>
      </c>
    </row>
    <row r="4" spans="1:15" ht="42" customHeight="1" x14ac:dyDescent="0.2">
      <c r="A4" s="1" t="s">
        <v>14</v>
      </c>
      <c r="B4" s="16" t="s">
        <v>121</v>
      </c>
      <c r="C4" s="1" t="s">
        <v>15</v>
      </c>
      <c r="D4" s="42">
        <v>1</v>
      </c>
      <c r="E4" s="42">
        <v>1</v>
      </c>
      <c r="F4" s="42">
        <v>60</v>
      </c>
      <c r="G4" s="17">
        <f t="shared" ref="G4:G9" si="0">MAX(0,MIN($F4,12)-MAX($E4,1)+1)*$D4</f>
        <v>12</v>
      </c>
      <c r="H4" s="17">
        <f t="shared" ref="H4:H9" si="1">MAX(0,MIN($F4,24)-MAX($E4,13)+1)*$D4</f>
        <v>12</v>
      </c>
      <c r="I4" s="17">
        <f t="shared" ref="I4:I9" si="2">MAX(0,MIN($F4,36)-MAX($E4,25)+1)*$D4</f>
        <v>12</v>
      </c>
      <c r="J4" s="17">
        <f t="shared" ref="J4:J9" si="3">MAX(0,MIN($F4,48)-MAX($E4,37)+1)*$D4</f>
        <v>12</v>
      </c>
      <c r="K4" s="17">
        <f t="shared" ref="K4:K9" si="4">MAX(0,MIN($F4,60)-MAX($E4,49)+1)*$D4</f>
        <v>12</v>
      </c>
      <c r="L4" s="17">
        <f t="shared" ref="L4:L9" si="5">SUM(G4:K4)</f>
        <v>60</v>
      </c>
      <c r="M4" s="62">
        <v>0.55000000000000004</v>
      </c>
      <c r="N4" s="18">
        <f>0.55*(G4*$B$17+H4*$C$17+I4*$D$17+J4*$E$17+K4*$F$17)</f>
        <v>179173.01378625003</v>
      </c>
      <c r="O4" s="16" t="s">
        <v>16</v>
      </c>
    </row>
    <row r="5" spans="1:15" ht="42" customHeight="1" x14ac:dyDescent="0.2">
      <c r="A5" s="1" t="s">
        <v>17</v>
      </c>
      <c r="B5" s="1" t="s">
        <v>118</v>
      </c>
      <c r="C5" s="1" t="s">
        <v>19</v>
      </c>
      <c r="D5" s="42">
        <v>2</v>
      </c>
      <c r="E5" s="42">
        <v>4</v>
      </c>
      <c r="F5" s="42">
        <v>16</v>
      </c>
      <c r="G5" s="17">
        <f t="shared" si="0"/>
        <v>18</v>
      </c>
      <c r="H5" s="17">
        <f t="shared" si="1"/>
        <v>8</v>
      </c>
      <c r="I5" s="17">
        <f t="shared" si="2"/>
        <v>0</v>
      </c>
      <c r="J5" s="17">
        <f t="shared" si="3"/>
        <v>0</v>
      </c>
      <c r="K5" s="17">
        <f t="shared" si="4"/>
        <v>0</v>
      </c>
      <c r="L5" s="17">
        <f t="shared" si="5"/>
        <v>26</v>
      </c>
      <c r="M5" s="62">
        <v>1</v>
      </c>
      <c r="N5" s="18">
        <f>G5*$B$18+H5*$C$18+I5*$D$18+J5*$E$18+K5*$F$18</f>
        <v>63835.199999999997</v>
      </c>
      <c r="O5" s="16" t="s">
        <v>20</v>
      </c>
    </row>
    <row r="6" spans="1:15" ht="42" customHeight="1" x14ac:dyDescent="0.2">
      <c r="A6" s="1" t="s">
        <v>17</v>
      </c>
      <c r="B6" s="1" t="s">
        <v>118</v>
      </c>
      <c r="C6" s="1" t="s">
        <v>21</v>
      </c>
      <c r="D6" s="42">
        <v>1</v>
      </c>
      <c r="E6" s="42">
        <v>4</v>
      </c>
      <c r="F6" s="42">
        <v>16</v>
      </c>
      <c r="G6" s="17">
        <f t="shared" si="0"/>
        <v>9</v>
      </c>
      <c r="H6" s="17">
        <f t="shared" si="1"/>
        <v>4</v>
      </c>
      <c r="I6" s="17">
        <f t="shared" si="2"/>
        <v>0</v>
      </c>
      <c r="J6" s="17">
        <f t="shared" si="3"/>
        <v>0</v>
      </c>
      <c r="K6" s="17">
        <f t="shared" si="4"/>
        <v>0</v>
      </c>
      <c r="L6" s="17">
        <f t="shared" si="5"/>
        <v>13</v>
      </c>
      <c r="M6" s="62">
        <v>1</v>
      </c>
      <c r="N6" s="18">
        <f>G6*$B$19+H6*$C$19+I6*$D$19+J6*$E$19+K6*$F$19</f>
        <v>42134.400000000001</v>
      </c>
      <c r="O6" s="16" t="s">
        <v>22</v>
      </c>
    </row>
    <row r="7" spans="1:15" ht="42" customHeight="1" x14ac:dyDescent="0.2">
      <c r="A7" s="1" t="s">
        <v>23</v>
      </c>
      <c r="B7" s="1" t="s">
        <v>119</v>
      </c>
      <c r="C7" s="1" t="s">
        <v>19</v>
      </c>
      <c r="D7" s="42">
        <v>1</v>
      </c>
      <c r="E7" s="42">
        <v>16</v>
      </c>
      <c r="F7" s="42">
        <v>39</v>
      </c>
      <c r="G7" s="17">
        <f t="shared" si="0"/>
        <v>0</v>
      </c>
      <c r="H7" s="17">
        <f t="shared" si="1"/>
        <v>9</v>
      </c>
      <c r="I7" s="17">
        <f t="shared" si="2"/>
        <v>12</v>
      </c>
      <c r="J7" s="17">
        <f t="shared" si="3"/>
        <v>3</v>
      </c>
      <c r="K7" s="17">
        <f t="shared" si="4"/>
        <v>0</v>
      </c>
      <c r="L7" s="17">
        <f t="shared" si="5"/>
        <v>24</v>
      </c>
      <c r="M7" s="62">
        <v>1</v>
      </c>
      <c r="N7" s="18">
        <f>G7*$B$18+H7*$C$18+I7*$D$18+J7*$E$18+K7*$F$18</f>
        <v>63237.651750000005</v>
      </c>
      <c r="O7" s="16" t="s">
        <v>24</v>
      </c>
    </row>
    <row r="8" spans="1:15" ht="42" customHeight="1" x14ac:dyDescent="0.2">
      <c r="A8" s="1" t="s">
        <v>23</v>
      </c>
      <c r="B8" s="1" t="s">
        <v>119</v>
      </c>
      <c r="C8" s="1" t="s">
        <v>21</v>
      </c>
      <c r="D8" s="42">
        <v>1</v>
      </c>
      <c r="E8" s="42">
        <v>16</v>
      </c>
      <c r="F8" s="42">
        <v>39</v>
      </c>
      <c r="G8" s="17">
        <f t="shared" si="0"/>
        <v>0</v>
      </c>
      <c r="H8" s="17">
        <f t="shared" si="1"/>
        <v>9</v>
      </c>
      <c r="I8" s="17">
        <f t="shared" si="2"/>
        <v>12</v>
      </c>
      <c r="J8" s="17">
        <f t="shared" si="3"/>
        <v>3</v>
      </c>
      <c r="K8" s="17">
        <f t="shared" si="4"/>
        <v>0</v>
      </c>
      <c r="L8" s="17">
        <f t="shared" si="5"/>
        <v>24</v>
      </c>
      <c r="M8" s="62">
        <v>1</v>
      </c>
      <c r="N8" s="18">
        <f>G8*$B$19+H8*$C$19+I8*$D$19+J8*$E$19+K8*$F$19</f>
        <v>83479.977000000014</v>
      </c>
      <c r="O8" s="16" t="s">
        <v>25</v>
      </c>
    </row>
    <row r="9" spans="1:15" ht="42" customHeight="1" x14ac:dyDescent="0.2">
      <c r="A9" s="1" t="s">
        <v>26</v>
      </c>
      <c r="B9" s="1" t="s">
        <v>120</v>
      </c>
      <c r="C9" s="1" t="s">
        <v>21</v>
      </c>
      <c r="D9" s="42">
        <v>1</v>
      </c>
      <c r="E9" s="42">
        <v>40</v>
      </c>
      <c r="F9" s="42">
        <v>60</v>
      </c>
      <c r="G9" s="17">
        <f t="shared" si="0"/>
        <v>0</v>
      </c>
      <c r="H9" s="17">
        <f t="shared" si="1"/>
        <v>0</v>
      </c>
      <c r="I9" s="17">
        <f t="shared" si="2"/>
        <v>0</v>
      </c>
      <c r="J9" s="17">
        <f t="shared" si="3"/>
        <v>9</v>
      </c>
      <c r="K9" s="17">
        <f t="shared" si="4"/>
        <v>12</v>
      </c>
      <c r="L9" s="17">
        <f t="shared" si="5"/>
        <v>21</v>
      </c>
      <c r="M9" s="62">
        <v>1</v>
      </c>
      <c r="N9" s="18">
        <f>G9*$B$19+H9*$C$19+I9*$D$19+J9*$E$19+K9*$F$19</f>
        <v>79815.002400000027</v>
      </c>
      <c r="O9" s="16" t="s">
        <v>27</v>
      </c>
    </row>
    <row r="10" spans="1:15" ht="34" customHeight="1" x14ac:dyDescent="0.2">
      <c r="G10" s="21"/>
      <c r="H10" s="21"/>
      <c r="I10" s="21"/>
      <c r="J10" s="21"/>
      <c r="K10" s="21"/>
      <c r="L10" s="21"/>
      <c r="M10" s="21"/>
      <c r="N10" s="22"/>
    </row>
    <row r="11" spans="1:15" ht="42" customHeight="1" x14ac:dyDescent="0.2">
      <c r="G11" s="21"/>
      <c r="H11" s="21"/>
      <c r="I11" s="21"/>
      <c r="J11" s="21"/>
      <c r="K11" s="21"/>
      <c r="L11" s="21"/>
      <c r="M11" s="21"/>
      <c r="N11" s="22"/>
    </row>
    <row r="12" spans="1:15" ht="22" customHeight="1" x14ac:dyDescent="0.2">
      <c r="A12" s="9" t="s">
        <v>28</v>
      </c>
      <c r="B12" s="9"/>
      <c r="C12" s="9"/>
      <c r="D12" s="9"/>
      <c r="E12" s="9"/>
      <c r="F12" s="9">
        <f t="shared" ref="F12:H15" si="6">E12*1.05</f>
        <v>0</v>
      </c>
      <c r="G12" s="19">
        <f t="shared" si="6"/>
        <v>0</v>
      </c>
      <c r="H12" s="19">
        <f t="shared" si="6"/>
        <v>0</v>
      </c>
      <c r="I12" s="19">
        <f>SUM(I4:I9)</f>
        <v>36</v>
      </c>
      <c r="J12" s="19">
        <f>SUM(J4:J9)</f>
        <v>27</v>
      </c>
      <c r="K12" s="19">
        <f>SUM(K4:K9)</f>
        <v>24</v>
      </c>
      <c r="L12" s="19">
        <f>SUM(L4:L9)</f>
        <v>168</v>
      </c>
      <c r="M12" s="19"/>
      <c r="N12" s="20">
        <f>SUM(N4:N9)</f>
        <v>511675.24493625015</v>
      </c>
      <c r="O12" s="9"/>
    </row>
    <row r="13" spans="1: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x14ac:dyDescent="0.2">
      <c r="A14" s="6" t="s">
        <v>29</v>
      </c>
      <c r="B14" s="7"/>
      <c r="C14" s="7"/>
      <c r="D14" s="7"/>
      <c r="E14" s="7"/>
      <c r="F14" s="7">
        <f t="shared" si="6"/>
        <v>0</v>
      </c>
      <c r="G14" s="8">
        <f t="shared" si="6"/>
        <v>0</v>
      </c>
      <c r="H14" s="1">
        <f t="shared" si="6"/>
        <v>0</v>
      </c>
      <c r="I14" s="1"/>
      <c r="J14" s="1"/>
      <c r="K14" s="1"/>
      <c r="L14" s="1"/>
      <c r="M14" s="1"/>
      <c r="N14" s="1"/>
      <c r="O14" s="1"/>
    </row>
    <row r="15" spans="1:15" x14ac:dyDescent="0.2">
      <c r="A15" s="1" t="s">
        <v>30</v>
      </c>
      <c r="B15" s="13">
        <v>0.05</v>
      </c>
      <c r="C15" s="1"/>
      <c r="D15" s="1"/>
      <c r="E15" s="1"/>
      <c r="F15" s="1">
        <f t="shared" si="6"/>
        <v>0</v>
      </c>
      <c r="G15" s="1">
        <f t="shared" si="6"/>
        <v>0</v>
      </c>
      <c r="H15" s="1">
        <f t="shared" si="6"/>
        <v>0</v>
      </c>
      <c r="I15" s="1"/>
      <c r="J15" s="1"/>
      <c r="K15" s="1"/>
      <c r="L15" s="1"/>
      <c r="M15" s="1"/>
      <c r="N15" s="1"/>
      <c r="O15" s="1"/>
    </row>
    <row r="16" spans="1:15" ht="30" customHeight="1" x14ac:dyDescent="0.2">
      <c r="A16" s="3" t="s">
        <v>3</v>
      </c>
      <c r="B16" s="4" t="s">
        <v>31</v>
      </c>
      <c r="C16" s="4" t="s">
        <v>32</v>
      </c>
      <c r="D16" s="4" t="s">
        <v>33</v>
      </c>
      <c r="E16" s="4" t="s">
        <v>34</v>
      </c>
      <c r="F16" s="4" t="s">
        <v>35</v>
      </c>
      <c r="G16" s="5" t="s">
        <v>36</v>
      </c>
      <c r="H16" s="1"/>
      <c r="I16" s="1"/>
      <c r="J16" s="1"/>
      <c r="K16" s="1"/>
      <c r="L16" s="1"/>
      <c r="M16" s="1"/>
      <c r="N16" s="1"/>
      <c r="O16" s="1"/>
    </row>
    <row r="17" spans="1:15" x14ac:dyDescent="0.2">
      <c r="A17" s="1" t="s">
        <v>15</v>
      </c>
      <c r="B17" s="14">
        <v>4913</v>
      </c>
      <c r="C17" s="11">
        <f t="shared" ref="C17:F19" si="7">B17*(1+$B$15)</f>
        <v>5158.6500000000005</v>
      </c>
      <c r="D17" s="11">
        <f t="shared" si="7"/>
        <v>5416.5825000000004</v>
      </c>
      <c r="E17" s="11">
        <f t="shared" si="7"/>
        <v>5687.4116250000006</v>
      </c>
      <c r="F17" s="11">
        <f t="shared" si="7"/>
        <v>5971.7822062500009</v>
      </c>
      <c r="G17" s="1" t="s">
        <v>37</v>
      </c>
      <c r="H17" s="1"/>
      <c r="I17" s="1"/>
      <c r="J17" s="1"/>
      <c r="K17" s="1"/>
      <c r="L17" s="1"/>
      <c r="M17" s="1"/>
      <c r="N17" s="1"/>
      <c r="O17" s="1"/>
    </row>
    <row r="18" spans="1:15" x14ac:dyDescent="0.2">
      <c r="A18" s="1" t="s">
        <v>19</v>
      </c>
      <c r="B18" s="14">
        <v>2418</v>
      </c>
      <c r="C18" s="11">
        <f t="shared" si="7"/>
        <v>2538.9</v>
      </c>
      <c r="D18" s="11">
        <f t="shared" si="7"/>
        <v>2665.8450000000003</v>
      </c>
      <c r="E18" s="11">
        <f t="shared" si="7"/>
        <v>2799.1372500000002</v>
      </c>
      <c r="F18" s="11">
        <f t="shared" si="7"/>
        <v>2939.0941125000004</v>
      </c>
      <c r="G18" s="1" t="s">
        <v>38</v>
      </c>
      <c r="H18" s="1"/>
      <c r="I18" s="1"/>
      <c r="J18" s="1"/>
      <c r="K18" s="1"/>
      <c r="L18" s="1"/>
      <c r="M18" s="1"/>
      <c r="N18" s="1"/>
      <c r="O18" s="1"/>
    </row>
    <row r="19" spans="1:15" x14ac:dyDescent="0.2">
      <c r="A19" s="1" t="s">
        <v>21</v>
      </c>
      <c r="B19" s="14">
        <v>3192</v>
      </c>
      <c r="C19" s="11">
        <f t="shared" si="7"/>
        <v>3351.6000000000004</v>
      </c>
      <c r="D19" s="11">
        <f t="shared" si="7"/>
        <v>3519.1800000000007</v>
      </c>
      <c r="E19" s="11">
        <f t="shared" si="7"/>
        <v>3695.139000000001</v>
      </c>
      <c r="F19" s="11">
        <f t="shared" si="7"/>
        <v>3879.8959500000014</v>
      </c>
      <c r="G19" s="1" t="s">
        <v>38</v>
      </c>
      <c r="H19" s="1"/>
      <c r="I19" s="1"/>
      <c r="J19" s="1"/>
      <c r="K19" s="1"/>
      <c r="L19" s="1"/>
      <c r="M19" s="1"/>
      <c r="N19" s="1"/>
      <c r="O19" s="1"/>
    </row>
    <row r="20" spans="1:1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">
      <c r="A21" s="1" t="s">
        <v>39</v>
      </c>
      <c r="B21" s="53" t="s">
        <v>40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">
      <c r="A23" s="6" t="s">
        <v>41</v>
      </c>
      <c r="B23" s="7"/>
      <c r="C23" s="7"/>
      <c r="D23" s="7"/>
      <c r="E23" s="7"/>
      <c r="F23" s="7"/>
      <c r="G23" s="8"/>
      <c r="H23" s="1"/>
      <c r="I23" s="1"/>
      <c r="J23" s="1"/>
      <c r="K23" s="1"/>
      <c r="L23" s="1"/>
      <c r="M23" s="1"/>
      <c r="N23" s="1"/>
      <c r="O23" s="1"/>
    </row>
    <row r="24" spans="1:15" ht="30" customHeight="1" x14ac:dyDescent="0.2">
      <c r="A24" s="3" t="s">
        <v>3</v>
      </c>
      <c r="B24" s="4" t="s">
        <v>42</v>
      </c>
      <c r="C24" s="4" t="s">
        <v>43</v>
      </c>
      <c r="D24" s="4" t="s">
        <v>44</v>
      </c>
      <c r="E24" s="4" t="s">
        <v>45</v>
      </c>
      <c r="F24" s="4" t="s">
        <v>46</v>
      </c>
      <c r="G24" s="5" t="s">
        <v>47</v>
      </c>
      <c r="H24" s="1"/>
      <c r="I24" s="1"/>
      <c r="J24" s="1"/>
      <c r="K24" s="1"/>
      <c r="L24" s="1"/>
      <c r="M24" s="1"/>
      <c r="N24" s="1"/>
      <c r="O24" s="1"/>
    </row>
    <row r="25" spans="1:15" x14ac:dyDescent="0.2">
      <c r="A25" s="1" t="s">
        <v>15</v>
      </c>
      <c r="B25" s="11">
        <f>SUMIF($C$4:$C$9,$A25,G$4:G$9)*B$17*0.55</f>
        <v>32425.800000000003</v>
      </c>
      <c r="C25" s="11">
        <f t="shared" ref="C25:F25" si="8">SUMIF($C$4:$C$9,$A25,H$4:H$9)*C$17*0.55</f>
        <v>34047.090000000004</v>
      </c>
      <c r="D25" s="11">
        <f t="shared" si="8"/>
        <v>35749.444500000005</v>
      </c>
      <c r="E25" s="11">
        <f t="shared" si="8"/>
        <v>37536.91672500001</v>
      </c>
      <c r="F25" s="11">
        <f t="shared" si="8"/>
        <v>39413.762561250005</v>
      </c>
      <c r="G25" s="11">
        <f>SUM(B25:F25)</f>
        <v>179173.01378625006</v>
      </c>
      <c r="H25" s="1"/>
      <c r="I25" s="1"/>
      <c r="J25" s="1"/>
      <c r="K25" s="1"/>
      <c r="L25" s="1"/>
      <c r="M25" s="1"/>
      <c r="N25" s="1"/>
      <c r="O25" s="1"/>
    </row>
    <row r="26" spans="1:15" x14ac:dyDescent="0.2">
      <c r="A26" s="1" t="s">
        <v>19</v>
      </c>
      <c r="B26" s="11">
        <f>SUMIF($C$4:$C$9,$A26,G$4:G$9)*B$18</f>
        <v>43524</v>
      </c>
      <c r="C26" s="11">
        <f>SUMIF($C$4:$C$9,$A26,H$4:H$9)*C$18</f>
        <v>43161.3</v>
      </c>
      <c r="D26" s="11">
        <f>SUMIF($C$4:$C$9,$A26,I$4:I$9)*D$18</f>
        <v>31990.140000000003</v>
      </c>
      <c r="E26" s="11">
        <f>SUMIF($C$4:$C$9,$A26,J$4:J$9)*E$18</f>
        <v>8397.4117500000011</v>
      </c>
      <c r="F26" s="11">
        <f>SUMIF($C$4:$C$9,$A26,K$4:K$9)*F$18</f>
        <v>0</v>
      </c>
      <c r="G26" s="11">
        <f>SUM(B26:F26)</f>
        <v>127072.85175</v>
      </c>
      <c r="H26" s="1"/>
      <c r="I26" s="1"/>
      <c r="J26" s="1"/>
      <c r="K26" s="1"/>
      <c r="L26" s="1"/>
      <c r="M26" s="1"/>
      <c r="N26" s="1"/>
      <c r="O26" s="1"/>
    </row>
    <row r="27" spans="1:15" x14ac:dyDescent="0.2">
      <c r="A27" s="1" t="s">
        <v>21</v>
      </c>
      <c r="B27" s="11">
        <f>SUMIF($C$4:$C$9,$A27,G$4:G$9)*B$19</f>
        <v>28728</v>
      </c>
      <c r="C27" s="11">
        <f>SUMIF($C$4:$C$9,$A27,H$4:H$9)*C$19</f>
        <v>43570.8</v>
      </c>
      <c r="D27" s="11">
        <f>SUMIF($C$4:$C$9,$A27,I$4:I$9)*D$19</f>
        <v>42230.160000000011</v>
      </c>
      <c r="E27" s="11">
        <f>SUMIF($C$4:$C$9,$A27,J$4:J$9)*E$19</f>
        <v>44341.668000000012</v>
      </c>
      <c r="F27" s="11">
        <f>SUMIF($C$4:$C$9,$A27,K$4:K$9)*F$19</f>
        <v>46558.751400000016</v>
      </c>
      <c r="G27" s="11">
        <f>SUM(B27:F27)</f>
        <v>205429.37940000003</v>
      </c>
      <c r="H27" s="1"/>
      <c r="I27" s="1"/>
      <c r="J27" s="1"/>
      <c r="K27" s="1"/>
      <c r="L27" s="1"/>
      <c r="M27" s="1"/>
      <c r="N27" s="1"/>
      <c r="O27" s="1"/>
    </row>
    <row r="28" spans="1:15" x14ac:dyDescent="0.2">
      <c r="A28" s="9" t="s">
        <v>28</v>
      </c>
      <c r="B28" s="12">
        <f t="shared" ref="B28:F28" si="9">SUM(B25:B27)</f>
        <v>104677.8</v>
      </c>
      <c r="C28" s="12">
        <f t="shared" si="9"/>
        <v>120779.19000000002</v>
      </c>
      <c r="D28" s="12">
        <f t="shared" si="9"/>
        <v>109969.74450000003</v>
      </c>
      <c r="E28" s="12">
        <f t="shared" si="9"/>
        <v>90275.996475000022</v>
      </c>
      <c r="F28" s="12">
        <f t="shared" si="9"/>
        <v>85972.513961250021</v>
      </c>
      <c r="G28" s="12">
        <f>SUM(G25:G27)+0.01</f>
        <v>511675.2549362501</v>
      </c>
      <c r="H28" s="1"/>
      <c r="I28" s="1"/>
      <c r="J28" s="1"/>
      <c r="K28" s="1"/>
      <c r="L28" s="1"/>
      <c r="M28" s="1"/>
      <c r="N28" s="1"/>
      <c r="O28" s="1"/>
    </row>
    <row r="29" spans="1: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">
      <c r="A31" s="6" t="s">
        <v>48</v>
      </c>
      <c r="B31" s="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30" customHeight="1" x14ac:dyDescent="0.2">
      <c r="A32" s="3" t="s">
        <v>1</v>
      </c>
      <c r="B32" s="5" t="s">
        <v>47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">
      <c r="A33" s="1" t="s">
        <v>49</v>
      </c>
      <c r="B33" s="11">
        <f>N4</f>
        <v>179173.01378625003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">
      <c r="A34" s="1" t="s">
        <v>17</v>
      </c>
      <c r="B34" s="11">
        <f>SUM(N5:N6)</f>
        <v>105969.60000000001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">
      <c r="A35" s="1" t="s">
        <v>50</v>
      </c>
      <c r="B35" s="11">
        <f>SUM(N7:N8)</f>
        <v>146717.62875000003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A36" s="1" t="s">
        <v>51</v>
      </c>
      <c r="B36" s="11">
        <f>N9</f>
        <v>79815.002400000027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A37" s="1" t="s">
        <v>52</v>
      </c>
      <c r="B37" s="11">
        <v>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A38" s="1" t="s">
        <v>53</v>
      </c>
      <c r="B38" s="11">
        <v>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">
      <c r="A39" s="9" t="s">
        <v>28</v>
      </c>
      <c r="B39" s="12">
        <f>SUM(B33:B38)</f>
        <v>511675.24493625003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">
      <c r="A41" s="6" t="s">
        <v>54</v>
      </c>
      <c r="B41" s="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">
      <c r="A42" s="1" t="s">
        <v>55</v>
      </c>
      <c r="B42" s="10">
        <f>SUMIF($C$4:$C$9,"PhD",$L$4:$L$9)</f>
        <v>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">
      <c r="A43" s="1" t="s">
        <v>56</v>
      </c>
      <c r="B43" s="10">
        <f>SUMIF($C$4:$C$9,"Postdoc",$L$4:$L$9)</f>
        <v>58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 t="s">
        <v>57</v>
      </c>
      <c r="B44" s="10">
        <f>SUMIF($C$4:$C$9,"PI",$L$4:$L$9)</f>
        <v>60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">
      <c r="A45" s="1" t="s">
        <v>58</v>
      </c>
      <c r="B45" s="15">
        <f>ROUND(N12-G28,2)</f>
        <v>-0.01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</sheetData>
  <conditionalFormatting sqref="B45">
    <cfRule type="cellIs" dxfId="0" priority="1" operator="notEqual">
      <formula>0</formula>
    </cfRule>
  </conditionalFormatting>
  <hyperlinks>
    <hyperlink ref="B21" r:id="rId1" xr:uid="{527D4971-7B25-0F4C-B949-69B0A0716062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showGridLines="0" topLeftCell="C1" workbookViewId="0">
      <pane ySplit="4" topLeftCell="A5" activePane="bottomLeft" state="frozen"/>
      <selection pane="bottomLeft" activeCell="G32" sqref="G32"/>
    </sheetView>
  </sheetViews>
  <sheetFormatPr baseColWidth="10" defaultColWidth="8.83203125" defaultRowHeight="15" x14ac:dyDescent="0.2"/>
  <cols>
    <col min="1" max="1" width="9" customWidth="1"/>
    <col min="2" max="2" width="16" customWidth="1"/>
    <col min="3" max="3" width="28" customWidth="1"/>
    <col min="4" max="6" width="10" customWidth="1"/>
    <col min="7" max="7" width="34" customWidth="1"/>
    <col min="8" max="8" width="58" customWidth="1"/>
    <col min="9" max="9" width="38" customWidth="1"/>
    <col min="10" max="14" width="13" customWidth="1"/>
  </cols>
  <sheetData>
    <row r="1" spans="1:14" ht="28" customHeight="1" x14ac:dyDescent="0.2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1:14" ht="34" customHeight="1" x14ac:dyDescent="0.2">
      <c r="A2" s="58" t="s">
        <v>59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34" customHeight="1" x14ac:dyDescent="0.2">
      <c r="A4" s="29" t="s">
        <v>60</v>
      </c>
      <c r="B4" s="29" t="s">
        <v>2</v>
      </c>
      <c r="C4" s="29" t="s">
        <v>1</v>
      </c>
      <c r="D4" s="29" t="s">
        <v>61</v>
      </c>
      <c r="E4" s="29" t="s">
        <v>62</v>
      </c>
      <c r="F4" s="29" t="s">
        <v>63</v>
      </c>
      <c r="G4" s="29" t="s">
        <v>64</v>
      </c>
      <c r="H4" s="29" t="s">
        <v>65</v>
      </c>
      <c r="I4" s="29" t="s">
        <v>66</v>
      </c>
      <c r="J4" s="29" t="s">
        <v>67</v>
      </c>
      <c r="K4" s="29" t="s">
        <v>68</v>
      </c>
      <c r="L4" s="29" t="s">
        <v>69</v>
      </c>
      <c r="M4" s="29" t="s">
        <v>70</v>
      </c>
      <c r="N4" s="29" t="s">
        <v>71</v>
      </c>
    </row>
    <row r="5" spans="1:14" ht="66" customHeight="1" x14ac:dyDescent="0.2">
      <c r="A5" s="23" t="s">
        <v>72</v>
      </c>
      <c r="B5" s="24" t="s">
        <v>73</v>
      </c>
      <c r="C5" s="24" t="s">
        <v>74</v>
      </c>
      <c r="D5" s="27">
        <v>1</v>
      </c>
      <c r="E5" s="27">
        <v>3</v>
      </c>
      <c r="F5" s="27">
        <f t="shared" ref="F5:F10" si="0">E5-D5+1</f>
        <v>3</v>
      </c>
      <c r="G5" s="24" t="s">
        <v>75</v>
      </c>
      <c r="H5" s="24" t="s">
        <v>76</v>
      </c>
      <c r="I5" s="24" t="s">
        <v>77</v>
      </c>
      <c r="J5" s="49">
        <v>3</v>
      </c>
      <c r="K5" s="43">
        <v>0</v>
      </c>
      <c r="L5" s="43">
        <v>0</v>
      </c>
      <c r="M5" s="43">
        <v>0</v>
      </c>
      <c r="N5" s="44">
        <v>0</v>
      </c>
    </row>
    <row r="6" spans="1:14" ht="66" customHeight="1" x14ac:dyDescent="0.2">
      <c r="A6" s="25" t="s">
        <v>17</v>
      </c>
      <c r="B6" s="26" t="s">
        <v>18</v>
      </c>
      <c r="C6" s="26" t="s">
        <v>78</v>
      </c>
      <c r="D6" s="28">
        <v>4</v>
      </c>
      <c r="E6" s="28">
        <v>16</v>
      </c>
      <c r="F6" s="28">
        <f t="shared" si="0"/>
        <v>13</v>
      </c>
      <c r="G6" s="26" t="s">
        <v>79</v>
      </c>
      <c r="H6" s="26" t="s">
        <v>80</v>
      </c>
      <c r="I6" s="26" t="s">
        <v>81</v>
      </c>
      <c r="J6" s="50">
        <v>9</v>
      </c>
      <c r="K6" s="50">
        <v>4</v>
      </c>
      <c r="L6" s="45">
        <v>0</v>
      </c>
      <c r="M6" s="46">
        <v>0</v>
      </c>
      <c r="N6" s="47">
        <v>0</v>
      </c>
    </row>
    <row r="7" spans="1:14" ht="66" customHeight="1" x14ac:dyDescent="0.2">
      <c r="A7" s="25" t="s">
        <v>82</v>
      </c>
      <c r="B7" s="26" t="s">
        <v>83</v>
      </c>
      <c r="C7" s="26" t="s">
        <v>84</v>
      </c>
      <c r="D7" s="28">
        <v>16</v>
      </c>
      <c r="E7" s="28">
        <v>39</v>
      </c>
      <c r="F7" s="28">
        <f t="shared" si="0"/>
        <v>24</v>
      </c>
      <c r="G7" s="26" t="s">
        <v>85</v>
      </c>
      <c r="H7" s="26" t="s">
        <v>86</v>
      </c>
      <c r="I7" s="26" t="s">
        <v>87</v>
      </c>
      <c r="J7" s="46">
        <v>0</v>
      </c>
      <c r="K7" s="50">
        <v>9</v>
      </c>
      <c r="L7" s="50">
        <v>12</v>
      </c>
      <c r="M7" s="50">
        <v>3</v>
      </c>
      <c r="N7" s="47">
        <v>0</v>
      </c>
    </row>
    <row r="8" spans="1:14" ht="66" customHeight="1" x14ac:dyDescent="0.2">
      <c r="A8" s="25" t="s">
        <v>88</v>
      </c>
      <c r="B8" s="26" t="s">
        <v>89</v>
      </c>
      <c r="C8" s="26" t="s">
        <v>90</v>
      </c>
      <c r="D8" s="28">
        <v>16</v>
      </c>
      <c r="E8" s="28">
        <v>39</v>
      </c>
      <c r="F8" s="28">
        <f t="shared" si="0"/>
        <v>24</v>
      </c>
      <c r="G8" s="26" t="s">
        <v>91</v>
      </c>
      <c r="H8" s="26" t="s">
        <v>92</v>
      </c>
      <c r="I8" s="26" t="s">
        <v>93</v>
      </c>
      <c r="J8" s="46">
        <v>0</v>
      </c>
      <c r="K8" s="50">
        <v>9</v>
      </c>
      <c r="L8" s="50">
        <v>12</v>
      </c>
      <c r="M8" s="50">
        <v>3</v>
      </c>
      <c r="N8" s="47">
        <v>0</v>
      </c>
    </row>
    <row r="9" spans="1:14" ht="66" customHeight="1" x14ac:dyDescent="0.2">
      <c r="A9" s="30" t="s">
        <v>94</v>
      </c>
      <c r="B9" s="31" t="s">
        <v>95</v>
      </c>
      <c r="C9" s="31" t="s">
        <v>96</v>
      </c>
      <c r="D9" s="32">
        <v>40</v>
      </c>
      <c r="E9" s="32">
        <v>54</v>
      </c>
      <c r="F9" s="32">
        <f t="shared" si="0"/>
        <v>15</v>
      </c>
      <c r="G9" s="31" t="s">
        <v>97</v>
      </c>
      <c r="H9" s="31" t="s">
        <v>98</v>
      </c>
      <c r="I9" s="31" t="s">
        <v>99</v>
      </c>
      <c r="J9" s="45">
        <v>0</v>
      </c>
      <c r="K9" s="45">
        <v>0</v>
      </c>
      <c r="L9" s="45">
        <v>0</v>
      </c>
      <c r="M9" s="50">
        <v>9</v>
      </c>
      <c r="N9" s="51">
        <v>6</v>
      </c>
    </row>
    <row r="10" spans="1:14" ht="66" customHeight="1" x14ac:dyDescent="0.2">
      <c r="A10" s="33" t="s">
        <v>100</v>
      </c>
      <c r="B10" s="34" t="s">
        <v>101</v>
      </c>
      <c r="C10" s="34" t="s">
        <v>102</v>
      </c>
      <c r="D10" s="35">
        <v>55</v>
      </c>
      <c r="E10" s="35">
        <v>60</v>
      </c>
      <c r="F10" s="35">
        <f t="shared" si="0"/>
        <v>6</v>
      </c>
      <c r="G10" s="34" t="s">
        <v>103</v>
      </c>
      <c r="H10" s="34" t="s">
        <v>104</v>
      </c>
      <c r="I10" s="34" t="s">
        <v>105</v>
      </c>
      <c r="J10" s="48">
        <v>0</v>
      </c>
      <c r="K10" s="48">
        <v>0</v>
      </c>
      <c r="L10" s="48">
        <v>0</v>
      </c>
      <c r="M10" s="48">
        <v>0</v>
      </c>
      <c r="N10" s="52">
        <v>6</v>
      </c>
    </row>
    <row r="11" spans="1:14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">
      <c r="A13" s="59" t="s">
        <v>106</v>
      </c>
      <c r="B13" s="59"/>
      <c r="C13" s="59"/>
      <c r="D13" s="59"/>
      <c r="E13" s="59"/>
      <c r="F13" s="59"/>
      <c r="G13" s="59"/>
      <c r="H13" s="59"/>
      <c r="I13" s="59"/>
      <c r="J13" s="1"/>
      <c r="K13" s="1"/>
      <c r="L13" s="1"/>
      <c r="M13" s="1"/>
      <c r="N13" s="1"/>
    </row>
    <row r="14" spans="1:14" ht="34" customHeight="1" x14ac:dyDescent="0.2">
      <c r="A14" s="29" t="s">
        <v>107</v>
      </c>
      <c r="B14" s="60" t="s">
        <v>108</v>
      </c>
      <c r="C14" s="60"/>
      <c r="D14" s="60"/>
      <c r="E14" s="60"/>
      <c r="F14" s="60"/>
      <c r="G14" s="60"/>
      <c r="H14" s="60"/>
      <c r="I14" s="29" t="s">
        <v>109</v>
      </c>
      <c r="J14" s="1"/>
      <c r="K14" s="1"/>
      <c r="L14" s="1"/>
      <c r="M14" s="1"/>
      <c r="N14" s="1"/>
    </row>
    <row r="15" spans="1:14" ht="23" customHeight="1" x14ac:dyDescent="0.2">
      <c r="A15" s="36">
        <v>4</v>
      </c>
      <c r="B15" s="61" t="s">
        <v>110</v>
      </c>
      <c r="C15" s="61"/>
      <c r="D15" s="61"/>
      <c r="E15" s="61"/>
      <c r="F15" s="61"/>
      <c r="G15" s="61"/>
      <c r="H15" s="61"/>
      <c r="I15" s="39" t="s">
        <v>72</v>
      </c>
      <c r="J15" s="1"/>
      <c r="K15" s="1"/>
      <c r="L15" s="1"/>
      <c r="M15" s="1"/>
      <c r="N15" s="1"/>
    </row>
    <row r="16" spans="1:14" ht="23" customHeight="1" x14ac:dyDescent="0.2">
      <c r="A16" s="37">
        <v>16</v>
      </c>
      <c r="B16" s="54" t="s">
        <v>111</v>
      </c>
      <c r="C16" s="54"/>
      <c r="D16" s="54"/>
      <c r="E16" s="54"/>
      <c r="F16" s="54"/>
      <c r="G16" s="54"/>
      <c r="H16" s="54"/>
      <c r="I16" s="40" t="s">
        <v>17</v>
      </c>
      <c r="J16" s="1"/>
      <c r="K16" s="1"/>
      <c r="L16" s="1"/>
      <c r="M16" s="1"/>
      <c r="N16" s="1"/>
    </row>
    <row r="17" spans="1:14" ht="23" customHeight="1" x14ac:dyDescent="0.2">
      <c r="A17" s="37">
        <v>30</v>
      </c>
      <c r="B17" s="54" t="s">
        <v>112</v>
      </c>
      <c r="C17" s="54"/>
      <c r="D17" s="54"/>
      <c r="E17" s="54"/>
      <c r="F17" s="54"/>
      <c r="G17" s="54"/>
      <c r="H17" s="54"/>
      <c r="I17" s="40" t="s">
        <v>113</v>
      </c>
      <c r="J17" s="1"/>
      <c r="K17" s="1"/>
      <c r="L17" s="1"/>
      <c r="M17" s="1"/>
      <c r="N17" s="1"/>
    </row>
    <row r="18" spans="1:14" ht="23" customHeight="1" x14ac:dyDescent="0.2">
      <c r="A18" s="37">
        <v>36</v>
      </c>
      <c r="B18" s="54" t="s">
        <v>114</v>
      </c>
      <c r="C18" s="54"/>
      <c r="D18" s="54"/>
      <c r="E18" s="54"/>
      <c r="F18" s="54"/>
      <c r="G18" s="54"/>
      <c r="H18" s="54"/>
      <c r="I18" s="40" t="s">
        <v>23</v>
      </c>
      <c r="J18" s="1"/>
      <c r="K18" s="1"/>
      <c r="L18" s="1"/>
      <c r="M18" s="1"/>
      <c r="N18" s="1"/>
    </row>
    <row r="19" spans="1:14" ht="23" customHeight="1" x14ac:dyDescent="0.2">
      <c r="A19" s="37">
        <v>54</v>
      </c>
      <c r="B19" s="54" t="s">
        <v>115</v>
      </c>
      <c r="C19" s="54"/>
      <c r="D19" s="54"/>
      <c r="E19" s="54"/>
      <c r="F19" s="54"/>
      <c r="G19" s="54"/>
      <c r="H19" s="54"/>
      <c r="I19" s="40" t="s">
        <v>94</v>
      </c>
      <c r="J19" s="1"/>
      <c r="K19" s="1"/>
      <c r="L19" s="1"/>
      <c r="M19" s="1"/>
      <c r="N19" s="1"/>
    </row>
    <row r="20" spans="1:14" ht="23" customHeight="1" x14ac:dyDescent="0.2">
      <c r="A20" s="38">
        <v>60</v>
      </c>
      <c r="B20" s="55" t="s">
        <v>116</v>
      </c>
      <c r="C20" s="55"/>
      <c r="D20" s="55"/>
      <c r="E20" s="55"/>
      <c r="F20" s="55"/>
      <c r="G20" s="55"/>
      <c r="H20" s="55"/>
      <c r="I20" s="41" t="s">
        <v>100</v>
      </c>
      <c r="J20" s="1"/>
      <c r="K20" s="1"/>
      <c r="L20" s="1"/>
      <c r="M20" s="1"/>
      <c r="N20" s="1"/>
    </row>
  </sheetData>
  <mergeCells count="10">
    <mergeCell ref="A1:N1"/>
    <mergeCell ref="A2:N2"/>
    <mergeCell ref="A13:I13"/>
    <mergeCell ref="B14:H14"/>
    <mergeCell ref="B15:H15"/>
    <mergeCell ref="B16:H16"/>
    <mergeCell ref="B17:H17"/>
    <mergeCell ref="B18:H18"/>
    <mergeCell ref="B19:H19"/>
    <mergeCell ref="B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Work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Yasin Kütük</cp:lastModifiedBy>
  <dcterms:modified xsi:type="dcterms:W3CDTF">2026-10-12T11:58:33Z</dcterms:modified>
</cp:coreProperties>
</file>